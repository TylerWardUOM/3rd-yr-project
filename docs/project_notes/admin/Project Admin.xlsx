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an0\Code\3rd-yr-project\docs\project_notes\admin\"/>
    </mc:Choice>
  </mc:AlternateContent>
  <xr:revisionPtr revIDLastSave="0" documentId="13_ncr:1_{06D9989F-D26F-4006-BD67-968265F367C7}" xr6:coauthVersionLast="47" xr6:coauthVersionMax="47" xr10:uidLastSave="{00000000-0000-0000-0000-000000000000}"/>
  <bookViews>
    <workbookView xWindow="35880" yWindow="-120" windowWidth="29040" windowHeight="15720" xr2:uid="{03E9F52C-9848-4DD6-8CC3-443279AFDA57}"/>
  </bookViews>
  <sheets>
    <sheet name="BOM" sheetId="1" r:id="rId1"/>
    <sheet name="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31" i="1"/>
  <c r="J8" i="1"/>
  <c r="I23" i="1"/>
  <c r="J4" i="1"/>
  <c r="J5" i="1"/>
  <c r="J6" i="1"/>
  <c r="J7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J23" i="1" l="1"/>
</calcChain>
</file>

<file path=xl/sharedStrings.xml><?xml version="1.0" encoding="utf-8"?>
<sst xmlns="http://schemas.openxmlformats.org/spreadsheetml/2006/main" count="152" uniqueCount="115">
  <si>
    <t>Part</t>
  </si>
  <si>
    <t xml:space="preserve">Description </t>
  </si>
  <si>
    <t>Manufacture</t>
  </si>
  <si>
    <t>Manufcature Part Number</t>
  </si>
  <si>
    <t>Supplier</t>
  </si>
  <si>
    <t>Supplier Part Number</t>
  </si>
  <si>
    <t>Quantity</t>
  </si>
  <si>
    <t>Motor</t>
  </si>
  <si>
    <t>TMotor Gimbal Motor GB2208</t>
  </si>
  <si>
    <t>T-Motors</t>
  </si>
  <si>
    <t>gb2208</t>
  </si>
  <si>
    <t>https://uk.robotshop.com/products/tmotor-gimbal-motor-gb2208?qd=129d96f95e8e8019ea972446cbf255ca</t>
  </si>
  <si>
    <t>GB2208</t>
  </si>
  <si>
    <t>Price</t>
  </si>
  <si>
    <t>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</si>
  <si>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</si>
  <si>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</si>
  <si>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</si>
  <si>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</si>
  <si>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</si>
  <si>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</si>
  <si>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</si>
  <si>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</si>
  <si>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</si>
  <si>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</si>
  <si>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</si>
  <si>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</si>
  <si>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Semester 1</t>
  </si>
  <si>
    <t>Semester 2</t>
  </si>
  <si>
    <t>September</t>
  </si>
  <si>
    <t>October</t>
  </si>
  <si>
    <t>November</t>
  </si>
  <si>
    <t>December</t>
  </si>
  <si>
    <t>January</t>
  </si>
  <si>
    <t>Febuary</t>
  </si>
  <si>
    <t>March</t>
  </si>
  <si>
    <t>Break 1</t>
  </si>
  <si>
    <t>Break 2</t>
  </si>
  <si>
    <t>Break 3</t>
  </si>
  <si>
    <t>Break 4</t>
  </si>
  <si>
    <t>April</t>
  </si>
  <si>
    <t>May</t>
  </si>
  <si>
    <t>Christmas</t>
  </si>
  <si>
    <t>Break 5</t>
  </si>
  <si>
    <t>Software</t>
  </si>
  <si>
    <t>Hardware</t>
  </si>
  <si>
    <t>Complete BOM</t>
  </si>
  <si>
    <t>Order Parts</t>
  </si>
  <si>
    <t>CAD</t>
  </si>
  <si>
    <t>Test</t>
  </si>
  <si>
    <t>Iterate</t>
  </si>
  <si>
    <t>Build</t>
  </si>
  <si>
    <t>Firmware</t>
  </si>
  <si>
    <t>Software Firmware Interface</t>
  </si>
  <si>
    <t>Integrate With Hardware</t>
  </si>
  <si>
    <t>Enchance</t>
  </si>
  <si>
    <t>Admin</t>
  </si>
  <si>
    <t>Gantt</t>
  </si>
  <si>
    <t>Risk / H&amp;S</t>
  </si>
  <si>
    <t>Drat Introduction</t>
  </si>
  <si>
    <t>Academic Malpractive Training</t>
  </si>
  <si>
    <t>Encoder</t>
  </si>
  <si>
    <t>ams OSRAM Adapterboard Development Kit for AS5048A Angle Position</t>
  </si>
  <si>
    <t>ams OSRAM</t>
  </si>
  <si>
    <t>https://uk.rs-online.com/web/p/sensor-development-tools/2018309?gb=a</t>
  </si>
  <si>
    <t>RS Stock No.:201-8309</t>
  </si>
  <si>
    <t>Price Per Unit</t>
  </si>
  <si>
    <t>STMicroelectronics Stm32 Nucleo-64 Development Board With Stm32g431rb Mcu Development Board NUCLEO-G431RB</t>
  </si>
  <si>
    <t>MCU</t>
  </si>
  <si>
    <t>STMicroelectronics</t>
  </si>
  <si>
    <t>NUCLEO-G431RB</t>
  </si>
  <si>
    <t>https://uk.rs-online.com/web/p/microcontroller-development-tools/1962536?gb=s</t>
  </si>
  <si>
    <t>RS Stock No.:196-2536</t>
  </si>
  <si>
    <t>Motor Driver</t>
  </si>
  <si>
    <t>STMicroelectronics L6234PD, BLDC Motor Driver IC, 52 V 4A 20-Pin, PowerSO</t>
  </si>
  <si>
    <t>AS5048A-TS_EK_AB</t>
  </si>
  <si>
    <t>L6234PD</t>
  </si>
  <si>
    <t>https://uk.rs-online.com/web/p/motor-driver-ics/0456444?gb=s</t>
  </si>
  <si>
    <t>RS Stock No.:456-444</t>
  </si>
  <si>
    <t>10nF Capacitor</t>
  </si>
  <si>
    <t>KEMET</t>
  </si>
  <si>
    <t>KEMET 10nF Multilayer Ceramic Capacitor MLCC, 50V dc V, ±10% , Through Hole</t>
  </si>
  <si>
    <t>C315C103K5R5TA</t>
  </si>
  <si>
    <t>https://uk.rs-online.com/web/p/mlccs-multilayer-ceramic-capacitors/5381196?gb=a</t>
  </si>
  <si>
    <t>RS Stock No.: 538-1196</t>
  </si>
  <si>
    <t>Timing Belt</t>
  </si>
  <si>
    <t xml:space="preserve">GT2 Timing Belts, 9mm Width </t>
  </si>
  <si>
    <t>VEX Robotics</t>
  </si>
  <si>
    <t>217-8259</t>
  </si>
  <si>
    <t>https://www.vexrobotics.com/gt2-timingbelts.html?config=326-3007</t>
  </si>
  <si>
    <t>608 Bearings</t>
  </si>
  <si>
    <t>RS PRO 608-Z Single Row Deep Groove Ball Bearing- One Side Shielded 8mm I.D, 22mm O.D</t>
  </si>
  <si>
    <t>608Z</t>
  </si>
  <si>
    <t>RS PRO</t>
  </si>
  <si>
    <t>https://uk.rs-online.com/web/p/ball-bearings/2346884</t>
  </si>
  <si>
    <t>RS Stock No.:234-6884</t>
  </si>
  <si>
    <t>Shafts</t>
  </si>
  <si>
    <t>RS PRO Stainless Steel Rod 8mm Diameter, 24in H, 300mm L</t>
  </si>
  <si>
    <t>RS Stock No.:786-6015</t>
  </si>
  <si>
    <t>https://uk.rs-online.com/web/p/metal-bars-metal-rods/7866015</t>
  </si>
  <si>
    <t>625 Bearings</t>
  </si>
  <si>
    <t>SKF 625 Single Row Deep Groove Ball Bearing- Open Type 5mm I.D, 16mm O.D</t>
  </si>
  <si>
    <t>SKF</t>
  </si>
  <si>
    <t>https://uk.rs-online.com/web/p/ball-bearings/2867811?gb=a</t>
  </si>
  <si>
    <t>RS Stock No.:286-7811</t>
  </si>
  <si>
    <t>Personal Spending for future upgrades</t>
  </si>
  <si>
    <t>Motor ESC</t>
  </si>
  <si>
    <t>https://uk.rs-online.com/web/p/microcontroller-development-tools/1939781</t>
  </si>
  <si>
    <t>B-G431B-ESC1</t>
  </si>
  <si>
    <t>STMicroelectronics Electronic Speed Controller Discovery Kit 32 Bit MCU Discovery Kit B-G431B-ESC1</t>
  </si>
  <si>
    <t>193-9781</t>
  </si>
  <si>
    <t>Requested</t>
  </si>
  <si>
    <t>Approved</t>
  </si>
  <si>
    <t>Personal Purchase needed</t>
  </si>
  <si>
    <t>GOT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</si>
</sst>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5" formatCode="&quot;£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165" fontId="0" fillId="0" borderId="0" xfId="0" applyNumberFormat="1"/>
    <xf numFmtId="0" fontId="0" fillId="0" borderId="0" xfId="0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/>
    <xf numFmtId="0" fontId="5" fillId="6" borderId="1" xfId="0" applyFont="1" applyFill="1" applyBorder="1"/>
    <xf numFmtId="0" fontId="5" fillId="7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0" xfId="0" applyFill="1"/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/>
    <xf numFmtId="0" fontId="2" fillId="5" borderId="3" xfId="0" applyFont="1" applyFill="1" applyBorder="1"/>
    <xf numFmtId="0" fontId="0" fillId="0" borderId="1" xfId="0" applyBorder="1"/>
    <xf numFmtId="0" fontId="0" fillId="7" borderId="1" xfId="0" applyFill="1" applyBorder="1"/>
    <xf numFmtId="0" fontId="5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6" borderId="1" xfId="0" applyFill="1" applyBorder="1"/>
    <xf numFmtId="0" fontId="5" fillId="4" borderId="1" xfId="0" applyFont="1" applyFill="1" applyBorder="1"/>
    <xf numFmtId="0" fontId="0" fillId="4" borderId="1" xfId="0" applyFill="1" applyBorder="1"/>
    <xf numFmtId="165" fontId="0" fillId="0" borderId="0" xfId="1" applyNumberFormat="1" applyFont="1"/>
    <xf numFmtId="9" fontId="3" fillId="0" borderId="0" xfId="3" applyNumberFormat="1"/>
    <xf numFmtId="0" fontId="0" fillId="9" borderId="0" xfId="0" applyFill="1"/>
    <xf numFmtId="0" fontId="0" fillId="9" borderId="0" xfId="0" applyFill="1" applyAlignment="1"/>
    <xf numFmtId="9" fontId="3" fillId="9" borderId="0" xfId="2" applyFont="1" applyFill="1"/>
    <xf numFmtId="165" fontId="0" fillId="9" borderId="0" xfId="0" applyNumberFormat="1" applyFill="1"/>
    <xf numFmtId="165" fontId="0" fillId="9" borderId="0" xfId="1" applyNumberFormat="1" applyFont="1" applyFill="1"/>
    <xf numFmtId="0" fontId="3" fillId="9" borderId="0" xfId="3" applyFill="1"/>
    <xf numFmtId="0" fontId="2" fillId="9" borderId="0" xfId="0" applyFont="1" applyFill="1"/>
    <xf numFmtId="9" fontId="3" fillId="9" borderId="0" xfId="3" applyNumberForma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7" borderId="0" xfId="3" applyFill="1"/>
    <xf numFmtId="165" fontId="0" fillId="7" borderId="0" xfId="0" applyNumberFormat="1" applyFill="1"/>
    <xf numFmtId="165" fontId="0" fillId="7" borderId="0" xfId="1" applyNumberFormat="1" applyFont="1" applyFill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rs-online.com/web/p/metal-bars-metal-rods/7866015" TargetMode="External"/><Relationship Id="rId3" Type="http://schemas.openxmlformats.org/officeDocument/2006/relationships/hyperlink" Target="https://uk.rs-online.com/web/p/microcontroller-development-tools/1962536?gb=s" TargetMode="External"/><Relationship Id="rId7" Type="http://schemas.openxmlformats.org/officeDocument/2006/relationships/hyperlink" Target="https://uk.rs-online.com/web/p/ball-bearings/2346884" TargetMode="External"/><Relationship Id="rId2" Type="http://schemas.openxmlformats.org/officeDocument/2006/relationships/hyperlink" Target="https://uk.rs-online.com/web/p/sensor-development-tools/2018309?gb=a" TargetMode="External"/><Relationship Id="rId1" Type="http://schemas.openxmlformats.org/officeDocument/2006/relationships/hyperlink" Target="https://uk.robotshop.com/products/tmotor-gimbal-motor-gb2208?qd=129d96f95e8e8019ea972446cbf255ca" TargetMode="External"/><Relationship Id="rId6" Type="http://schemas.openxmlformats.org/officeDocument/2006/relationships/hyperlink" Target="https://www.vexrobotics.com/gt2-timingbelts.html?config=326-3007" TargetMode="External"/><Relationship Id="rId5" Type="http://schemas.openxmlformats.org/officeDocument/2006/relationships/hyperlink" Target="https://uk.rs-online.com/web/p/mlccs-multilayer-ceramic-capacitors/5381196?gb=a" TargetMode="External"/><Relationship Id="rId4" Type="http://schemas.openxmlformats.org/officeDocument/2006/relationships/hyperlink" Target="https://uk.rs-online.com/web/p/motor-driver-ics/0456444?gb=s" TargetMode="External"/><Relationship Id="rId9" Type="http://schemas.openxmlformats.org/officeDocument/2006/relationships/hyperlink" Target="https://uk.rs-online.com/web/p/ball-bearings/2867811?gb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266C-A142-4A42-8308-A0564152856E}">
  <dimension ref="B2:M31"/>
  <sheetViews>
    <sheetView tabSelected="1" workbookViewId="0">
      <selection activeCell="E21" sqref="E21"/>
    </sheetView>
  </sheetViews>
  <sheetFormatPr defaultRowHeight="14.5" x14ac:dyDescent="0.35"/>
  <cols>
    <col min="2" max="2" width="7.7265625" bestFit="1" customWidth="1"/>
    <col min="3" max="3" width="11" bestFit="1" customWidth="1"/>
    <col min="4" max="4" width="11.54296875" bestFit="1" customWidth="1"/>
    <col min="5" max="5" width="23" bestFit="1" customWidth="1"/>
    <col min="6" max="6" width="93.08984375" bestFit="1" customWidth="1"/>
    <col min="7" max="7" width="19.1796875" bestFit="1" customWidth="1"/>
    <col min="8" max="8" width="8" bestFit="1" customWidth="1"/>
    <col min="9" max="9" width="12.54296875" customWidth="1"/>
  </cols>
  <sheetData>
    <row r="2" spans="2:1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66</v>
      </c>
      <c r="J2" t="s">
        <v>13</v>
      </c>
    </row>
    <row r="3" spans="2:13" x14ac:dyDescent="0.35">
      <c r="B3" s="25" t="s">
        <v>7</v>
      </c>
      <c r="C3" s="26" t="s">
        <v>8</v>
      </c>
      <c r="D3" s="25" t="s">
        <v>9</v>
      </c>
      <c r="E3" s="25" t="s">
        <v>10</v>
      </c>
      <c r="F3" s="27" t="s">
        <v>11</v>
      </c>
      <c r="G3" s="25" t="s">
        <v>12</v>
      </c>
      <c r="H3" s="25">
        <v>2</v>
      </c>
      <c r="I3" s="28">
        <v>23.91</v>
      </c>
      <c r="J3" s="29">
        <f>I3*H3</f>
        <v>47.82</v>
      </c>
    </row>
    <row r="4" spans="2:13" x14ac:dyDescent="0.35">
      <c r="B4" s="25" t="s">
        <v>61</v>
      </c>
      <c r="C4" s="25" t="s">
        <v>62</v>
      </c>
      <c r="D4" s="25" t="s">
        <v>63</v>
      </c>
      <c r="E4" s="25" t="s">
        <v>75</v>
      </c>
      <c r="F4" s="30" t="s">
        <v>64</v>
      </c>
      <c r="G4" s="25" t="s">
        <v>65</v>
      </c>
      <c r="H4" s="25">
        <v>2</v>
      </c>
      <c r="I4" s="28">
        <v>13.23</v>
      </c>
      <c r="J4" s="29">
        <f t="shared" ref="J4:J22" si="0">I4*H4</f>
        <v>26.46</v>
      </c>
      <c r="M4" s="25" t="s">
        <v>111</v>
      </c>
    </row>
    <row r="5" spans="2:13" x14ac:dyDescent="0.35">
      <c r="B5" s="25" t="s">
        <v>68</v>
      </c>
      <c r="C5" s="25" t="s">
        <v>67</v>
      </c>
      <c r="D5" s="25" t="s">
        <v>69</v>
      </c>
      <c r="E5" s="25" t="s">
        <v>70</v>
      </c>
      <c r="F5" s="30" t="s">
        <v>71</v>
      </c>
      <c r="G5" s="25" t="s">
        <v>72</v>
      </c>
      <c r="H5" s="25">
        <v>1</v>
      </c>
      <c r="I5" s="28">
        <v>12.99</v>
      </c>
      <c r="J5" s="29">
        <f t="shared" si="0"/>
        <v>12.99</v>
      </c>
      <c r="M5" s="33" t="s">
        <v>112</v>
      </c>
    </row>
    <row r="6" spans="2:13" x14ac:dyDescent="0.35">
      <c r="B6" s="31" t="s">
        <v>73</v>
      </c>
      <c r="C6" s="25"/>
      <c r="D6" s="25"/>
      <c r="E6" s="25"/>
      <c r="F6" s="25"/>
      <c r="G6" s="25"/>
      <c r="H6" s="25"/>
      <c r="I6" s="28"/>
      <c r="J6" s="29">
        <f t="shared" si="0"/>
        <v>0</v>
      </c>
      <c r="M6" s="34" t="s">
        <v>113</v>
      </c>
    </row>
    <row r="7" spans="2:13" x14ac:dyDescent="0.35">
      <c r="B7" s="25" t="s">
        <v>73</v>
      </c>
      <c r="C7" s="25" t="s">
        <v>74</v>
      </c>
      <c r="D7" s="25" t="s">
        <v>69</v>
      </c>
      <c r="E7" s="25" t="s">
        <v>76</v>
      </c>
      <c r="F7" s="30" t="s">
        <v>77</v>
      </c>
      <c r="G7" s="25" t="s">
        <v>78</v>
      </c>
      <c r="H7" s="25">
        <v>0</v>
      </c>
      <c r="I7" s="28">
        <v>6.4</v>
      </c>
      <c r="J7" s="29">
        <f t="shared" si="0"/>
        <v>0</v>
      </c>
    </row>
    <row r="8" spans="2:13" x14ac:dyDescent="0.35">
      <c r="B8" s="25" t="s">
        <v>79</v>
      </c>
      <c r="C8" s="25" t="s">
        <v>81</v>
      </c>
      <c r="D8" s="25" t="s">
        <v>80</v>
      </c>
      <c r="E8" s="25" t="s">
        <v>82</v>
      </c>
      <c r="F8" s="30" t="s">
        <v>83</v>
      </c>
      <c r="G8" s="25" t="s">
        <v>84</v>
      </c>
      <c r="H8" s="25">
        <v>1</v>
      </c>
      <c r="I8" s="28">
        <v>0.8</v>
      </c>
      <c r="J8" s="29">
        <f t="shared" si="0"/>
        <v>0.8</v>
      </c>
      <c r="M8" s="35" t="s">
        <v>114</v>
      </c>
    </row>
    <row r="9" spans="2:13" x14ac:dyDescent="0.35">
      <c r="B9" s="25" t="s">
        <v>106</v>
      </c>
      <c r="C9" s="26" t="s">
        <v>109</v>
      </c>
      <c r="D9" s="25" t="s">
        <v>69</v>
      </c>
      <c r="E9" s="25" t="s">
        <v>108</v>
      </c>
      <c r="F9" s="32" t="s">
        <v>107</v>
      </c>
      <c r="G9" s="25" t="s">
        <v>110</v>
      </c>
      <c r="H9" s="25">
        <v>2</v>
      </c>
      <c r="I9" s="28">
        <v>16</v>
      </c>
      <c r="J9" s="29">
        <f>I9*H9</f>
        <v>32</v>
      </c>
    </row>
    <row r="10" spans="2:13" x14ac:dyDescent="0.35">
      <c r="B10" s="25" t="s">
        <v>85</v>
      </c>
      <c r="C10" s="25" t="s">
        <v>86</v>
      </c>
      <c r="D10" s="25" t="s">
        <v>87</v>
      </c>
      <c r="E10" s="25" t="s">
        <v>88</v>
      </c>
      <c r="F10" s="30" t="s">
        <v>89</v>
      </c>
      <c r="G10" s="25" t="s">
        <v>88</v>
      </c>
      <c r="H10" s="25">
        <v>2</v>
      </c>
      <c r="I10" s="28">
        <v>8.49</v>
      </c>
      <c r="J10" s="29">
        <f>I10*H10</f>
        <v>16.98</v>
      </c>
    </row>
    <row r="11" spans="2:13" x14ac:dyDescent="0.35">
      <c r="B11" s="25" t="s">
        <v>90</v>
      </c>
      <c r="C11" s="25" t="s">
        <v>91</v>
      </c>
      <c r="D11" s="25" t="s">
        <v>93</v>
      </c>
      <c r="E11" s="25" t="s">
        <v>92</v>
      </c>
      <c r="F11" s="30" t="s">
        <v>94</v>
      </c>
      <c r="G11" s="25" t="s">
        <v>95</v>
      </c>
      <c r="H11" s="25">
        <v>5</v>
      </c>
      <c r="I11" s="28">
        <v>3.42</v>
      </c>
      <c r="J11" s="29">
        <f>I11*H11</f>
        <v>17.100000000000001</v>
      </c>
    </row>
    <row r="12" spans="2:13" x14ac:dyDescent="0.35">
      <c r="B12" s="25" t="s">
        <v>96</v>
      </c>
      <c r="C12" s="25" t="s">
        <v>97</v>
      </c>
      <c r="D12" s="25" t="s">
        <v>93</v>
      </c>
      <c r="E12" s="25"/>
      <c r="F12" s="30" t="s">
        <v>99</v>
      </c>
      <c r="G12" s="25" t="s">
        <v>98</v>
      </c>
      <c r="H12" s="25">
        <v>2</v>
      </c>
      <c r="I12" s="28">
        <v>7.92</v>
      </c>
      <c r="J12" s="29">
        <f>I12*H12</f>
        <v>15.84</v>
      </c>
    </row>
    <row r="13" spans="2:13" x14ac:dyDescent="0.35">
      <c r="B13" s="12" t="s">
        <v>100</v>
      </c>
      <c r="C13" s="12" t="s">
        <v>101</v>
      </c>
      <c r="D13" s="12" t="s">
        <v>102</v>
      </c>
      <c r="E13" s="12">
        <v>625</v>
      </c>
      <c r="F13" s="36" t="s">
        <v>103</v>
      </c>
      <c r="G13" s="12" t="s">
        <v>104</v>
      </c>
      <c r="H13" s="12">
        <v>3</v>
      </c>
      <c r="I13" s="37">
        <v>3.12</v>
      </c>
      <c r="J13" s="38">
        <f>I13*H13</f>
        <v>9.36</v>
      </c>
    </row>
    <row r="14" spans="2:13" x14ac:dyDescent="0.35">
      <c r="I14" s="1"/>
      <c r="J14" s="23">
        <f t="shared" si="0"/>
        <v>0</v>
      </c>
    </row>
    <row r="15" spans="2:13" x14ac:dyDescent="0.35">
      <c r="I15" s="1"/>
      <c r="J15" s="23">
        <f t="shared" si="0"/>
        <v>0</v>
      </c>
    </row>
    <row r="16" spans="2:13" x14ac:dyDescent="0.35">
      <c r="I16" s="1"/>
      <c r="J16" s="23">
        <f t="shared" si="0"/>
        <v>0</v>
      </c>
    </row>
    <row r="17" spans="2:10" x14ac:dyDescent="0.35">
      <c r="I17" s="1"/>
      <c r="J17" s="23">
        <f t="shared" si="0"/>
        <v>0</v>
      </c>
    </row>
    <row r="18" spans="2:10" x14ac:dyDescent="0.35">
      <c r="I18" s="1"/>
      <c r="J18" s="23">
        <f t="shared" si="0"/>
        <v>0</v>
      </c>
    </row>
    <row r="19" spans="2:10" x14ac:dyDescent="0.35">
      <c r="I19" s="1"/>
      <c r="J19" s="23">
        <f t="shared" si="0"/>
        <v>0</v>
      </c>
    </row>
    <row r="20" spans="2:10" x14ac:dyDescent="0.35">
      <c r="J20" s="23">
        <f t="shared" si="0"/>
        <v>0</v>
      </c>
    </row>
    <row r="21" spans="2:10" x14ac:dyDescent="0.35">
      <c r="J21" s="23">
        <f t="shared" si="0"/>
        <v>0</v>
      </c>
    </row>
    <row r="22" spans="2:10" x14ac:dyDescent="0.35">
      <c r="J22" s="23">
        <f t="shared" si="0"/>
        <v>0</v>
      </c>
    </row>
    <row r="23" spans="2:10" x14ac:dyDescent="0.35">
      <c r="I23" s="1">
        <f>SUM(I3:I22)</f>
        <v>96.28</v>
      </c>
      <c r="J23" s="1">
        <f>SUM(J3:J22)</f>
        <v>179.34999999999997</v>
      </c>
    </row>
    <row r="24" spans="2:10" x14ac:dyDescent="0.35">
      <c r="J24" s="23"/>
    </row>
    <row r="25" spans="2:10" x14ac:dyDescent="0.35">
      <c r="J25" s="23"/>
    </row>
    <row r="26" spans="2:10" x14ac:dyDescent="0.35">
      <c r="J26" s="23"/>
    </row>
    <row r="27" spans="2:10" x14ac:dyDescent="0.35">
      <c r="J27" s="1"/>
    </row>
    <row r="28" spans="2:10" x14ac:dyDescent="0.35">
      <c r="J28" s="1"/>
    </row>
    <row r="29" spans="2:10" x14ac:dyDescent="0.35">
      <c r="B29" s="6" t="s">
        <v>105</v>
      </c>
      <c r="J29" s="1"/>
    </row>
    <row r="30" spans="2:10" x14ac:dyDescent="0.35"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t="s">
        <v>66</v>
      </c>
      <c r="J30" t="s">
        <v>13</v>
      </c>
    </row>
    <row r="31" spans="2:10" x14ac:dyDescent="0.35">
      <c r="B31" t="s">
        <v>106</v>
      </c>
      <c r="C31" s="2" t="s">
        <v>109</v>
      </c>
      <c r="D31" t="s">
        <v>69</v>
      </c>
      <c r="E31" t="s">
        <v>108</v>
      </c>
      <c r="F31" s="24" t="s">
        <v>107</v>
      </c>
      <c r="G31" t="s">
        <v>110</v>
      </c>
      <c r="H31">
        <v>2</v>
      </c>
      <c r="I31" s="1">
        <v>16</v>
      </c>
      <c r="J31" s="23">
        <f>I31*H31</f>
        <v>32</v>
      </c>
    </row>
  </sheetData>
  <hyperlinks>
    <hyperlink ref="F3" r:id="rId1" xr:uid="{9E698EB6-4367-46C5-9E18-93AF0D1A6166}"/>
    <hyperlink ref="F4" r:id="rId2" xr:uid="{53C32351-77FF-44E7-BA39-165AF6C94D7D}"/>
    <hyperlink ref="F5" r:id="rId3" xr:uid="{468CAABC-6CE9-4EF0-905A-5A00DE35970E}"/>
    <hyperlink ref="F7" r:id="rId4" xr:uid="{D506FE7C-0B54-41A1-B46E-41A358C9541D}"/>
    <hyperlink ref="F8" r:id="rId5" xr:uid="{3C9FD201-6074-4DC4-84AF-A5314A0241D4}"/>
    <hyperlink ref="F10" r:id="rId6" xr:uid="{4A367532-512E-4F1E-B750-0AA222015056}"/>
    <hyperlink ref="F11" r:id="rId7" xr:uid="{5CFAFDD3-4DD1-40A1-90F3-BE145A61F92C}"/>
    <hyperlink ref="F12" r:id="rId8" xr:uid="{C6292A6E-1B15-4168-942C-B587658947B9}"/>
    <hyperlink ref="F13" r:id="rId9" xr:uid="{D83B5D4D-8DD1-41EF-A103-1286C85F1E3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0517-08D5-4865-8D1F-53E31EE9C8DE}">
  <dimension ref="B1:AG59"/>
  <sheetViews>
    <sheetView workbookViewId="0">
      <selection activeCell="B24" sqref="B24"/>
    </sheetView>
  </sheetViews>
  <sheetFormatPr defaultRowHeight="14.5" x14ac:dyDescent="0.35"/>
  <cols>
    <col min="2" max="2" width="12.81640625" bestFit="1" customWidth="1"/>
    <col min="3" max="33" width="10.6328125" customWidth="1"/>
  </cols>
  <sheetData>
    <row r="1" spans="2:33" x14ac:dyDescent="0.35">
      <c r="B1" s="7" t="s">
        <v>14</v>
      </c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42</v>
      </c>
      <c r="P1" s="4"/>
      <c r="Q1" s="4"/>
      <c r="R1" s="4"/>
      <c r="S1" s="4"/>
      <c r="T1" s="5" t="s">
        <v>28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2:33" x14ac:dyDescent="0.35">
      <c r="B2" s="7"/>
      <c r="C2" s="8" t="s">
        <v>29</v>
      </c>
      <c r="D2" s="7" t="s">
        <v>30</v>
      </c>
      <c r="E2" s="7"/>
      <c r="F2" s="7"/>
      <c r="G2" s="7"/>
      <c r="H2" s="7" t="s">
        <v>31</v>
      </c>
      <c r="I2" s="7"/>
      <c r="J2" s="7"/>
      <c r="K2" s="7"/>
      <c r="L2" s="7" t="s">
        <v>32</v>
      </c>
      <c r="M2" s="7"/>
      <c r="N2" s="7"/>
      <c r="O2" s="7"/>
      <c r="P2" s="7" t="s">
        <v>33</v>
      </c>
      <c r="Q2" s="7"/>
      <c r="R2" s="7"/>
      <c r="S2" s="7"/>
      <c r="T2" s="7" t="s">
        <v>34</v>
      </c>
      <c r="U2" s="7"/>
      <c r="V2" s="7"/>
      <c r="W2" s="7"/>
      <c r="X2" s="7" t="s">
        <v>35</v>
      </c>
      <c r="Y2" s="7"/>
      <c r="Z2" s="7"/>
      <c r="AA2" s="7"/>
      <c r="AB2" s="7" t="s">
        <v>40</v>
      </c>
      <c r="AC2" s="7"/>
      <c r="AD2" s="7"/>
      <c r="AE2" s="7"/>
      <c r="AF2" s="7" t="s">
        <v>41</v>
      </c>
      <c r="AG2" s="7"/>
    </row>
    <row r="3" spans="2:33" x14ac:dyDescent="0.35">
      <c r="B3" s="13"/>
      <c r="C3" s="14" t="s">
        <v>15</v>
      </c>
      <c r="D3" s="15" t="s">
        <v>16</v>
      </c>
      <c r="E3" s="15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15" t="s">
        <v>22</v>
      </c>
      <c r="K3" s="15" t="s">
        <v>23</v>
      </c>
      <c r="L3" s="15" t="s">
        <v>24</v>
      </c>
      <c r="M3" s="15" t="s">
        <v>25</v>
      </c>
      <c r="N3" s="15" t="s">
        <v>26</v>
      </c>
      <c r="O3" s="15" t="s">
        <v>36</v>
      </c>
      <c r="P3" s="15" t="s">
        <v>37</v>
      </c>
      <c r="Q3" s="15" t="s">
        <v>38</v>
      </c>
      <c r="R3" s="15" t="s">
        <v>39</v>
      </c>
      <c r="S3" s="15" t="s">
        <v>43</v>
      </c>
      <c r="T3" s="15" t="s">
        <v>15</v>
      </c>
      <c r="U3" s="15" t="s">
        <v>16</v>
      </c>
      <c r="V3" s="15" t="s">
        <v>17</v>
      </c>
      <c r="W3" s="15" t="s">
        <v>18</v>
      </c>
      <c r="X3" s="15" t="s">
        <v>19</v>
      </c>
      <c r="Y3" s="15" t="s">
        <v>20</v>
      </c>
      <c r="Z3" s="15" t="s">
        <v>21</v>
      </c>
      <c r="AA3" s="15" t="s">
        <v>22</v>
      </c>
      <c r="AB3" s="15" t="s">
        <v>36</v>
      </c>
      <c r="AC3" s="15" t="s">
        <v>37</v>
      </c>
      <c r="AD3" s="15" t="s">
        <v>23</v>
      </c>
      <c r="AE3" s="15" t="s">
        <v>24</v>
      </c>
      <c r="AF3" s="15" t="s">
        <v>25</v>
      </c>
      <c r="AG3" s="15" t="s">
        <v>26</v>
      </c>
    </row>
    <row r="4" spans="2:33" ht="21" x14ac:dyDescent="0.5">
      <c r="B4" s="10" t="s">
        <v>45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2:33" x14ac:dyDescent="0.35">
      <c r="B5" s="11" t="s">
        <v>46</v>
      </c>
      <c r="C5" s="17"/>
      <c r="D5" s="17"/>
      <c r="E5" s="17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2:33" x14ac:dyDescent="0.35">
      <c r="B6" s="11" t="s">
        <v>47</v>
      </c>
      <c r="C6" s="16"/>
      <c r="D6" s="16"/>
      <c r="E6" s="17"/>
      <c r="F6" s="17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2:33" x14ac:dyDescent="0.35">
      <c r="B7" s="11" t="s">
        <v>48</v>
      </c>
      <c r="C7" s="17"/>
      <c r="D7" s="17"/>
      <c r="E7" s="17"/>
      <c r="F7" s="17"/>
      <c r="G7" s="17"/>
      <c r="H7" s="17"/>
      <c r="I7" s="17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2:33" x14ac:dyDescent="0.35">
      <c r="B8" s="11" t="s">
        <v>51</v>
      </c>
      <c r="C8" s="16"/>
      <c r="D8" s="16"/>
      <c r="E8" s="16"/>
      <c r="F8" s="16"/>
      <c r="G8" s="16"/>
      <c r="H8" s="16"/>
      <c r="I8" s="17"/>
      <c r="J8" s="17"/>
      <c r="K8" s="1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2:33" x14ac:dyDescent="0.35">
      <c r="B9" s="11" t="s">
        <v>49</v>
      </c>
      <c r="C9" s="16"/>
      <c r="D9" s="16"/>
      <c r="E9" s="16"/>
      <c r="F9" s="16"/>
      <c r="G9" s="16"/>
      <c r="H9" s="16"/>
      <c r="I9" s="16"/>
      <c r="J9" s="16"/>
      <c r="K9" s="17"/>
      <c r="L9" s="17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2:33" x14ac:dyDescent="0.35">
      <c r="B10" s="11" t="s">
        <v>50</v>
      </c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7"/>
      <c r="N10" s="17"/>
      <c r="O10" s="17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2:33" ht="21" x14ac:dyDescent="0.5">
      <c r="B11" s="18" t="s">
        <v>52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2:33" x14ac:dyDescent="0.35">
      <c r="B12" s="19" t="s">
        <v>53</v>
      </c>
      <c r="C12" s="16"/>
      <c r="D12" s="16"/>
      <c r="E12" s="19"/>
      <c r="F12" s="19"/>
      <c r="G12" s="19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2:33" x14ac:dyDescent="0.35">
      <c r="B13" s="19" t="s">
        <v>54</v>
      </c>
      <c r="C13" s="16"/>
      <c r="D13" s="16"/>
      <c r="E13" s="16"/>
      <c r="F13" s="16"/>
      <c r="G13" s="19"/>
      <c r="H13" s="19"/>
      <c r="I13" s="19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2:33" x14ac:dyDescent="0.35">
      <c r="B14" s="19" t="s">
        <v>49</v>
      </c>
      <c r="C14" s="16"/>
      <c r="D14" s="16"/>
      <c r="E14" s="16"/>
      <c r="F14" s="16"/>
      <c r="G14" s="16"/>
      <c r="H14" s="16"/>
      <c r="I14" s="19"/>
      <c r="J14" s="19"/>
      <c r="K14" s="19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2:33" x14ac:dyDescent="0.35">
      <c r="B15" s="19" t="s">
        <v>50</v>
      </c>
      <c r="C15" s="16"/>
      <c r="D15" s="16"/>
      <c r="E15" s="16"/>
      <c r="F15" s="16"/>
      <c r="G15" s="16"/>
      <c r="H15" s="16"/>
      <c r="I15" s="16"/>
      <c r="J15" s="16"/>
      <c r="K15" s="19"/>
      <c r="L15" s="19"/>
      <c r="M15" s="19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2:33" x14ac:dyDescent="0.35">
      <c r="B16" s="19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2:33" ht="21" x14ac:dyDescent="0.5">
      <c r="B17" s="9" t="s">
        <v>44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2:33" x14ac:dyDescent="0.35">
      <c r="B18" s="20" t="s">
        <v>53</v>
      </c>
      <c r="C18" s="16"/>
      <c r="D18" s="16"/>
      <c r="E18" s="20"/>
      <c r="F18" s="20"/>
      <c r="G18" s="20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2:33" x14ac:dyDescent="0.35">
      <c r="B19" s="20" t="s">
        <v>55</v>
      </c>
      <c r="C19" s="16"/>
      <c r="D19" s="16"/>
      <c r="E19" s="16"/>
      <c r="F19" s="16"/>
      <c r="G19" s="20"/>
      <c r="H19" s="20"/>
      <c r="I19" s="20"/>
      <c r="J19" s="20"/>
      <c r="K19" s="20"/>
      <c r="L19" s="20"/>
      <c r="M19" s="20"/>
      <c r="N19" s="20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2:33" ht="21" x14ac:dyDescent="0.5">
      <c r="B20" s="21" t="s">
        <v>56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2:33" x14ac:dyDescent="0.35">
      <c r="B21" s="22" t="s">
        <v>57</v>
      </c>
      <c r="C21" s="16"/>
      <c r="D21" s="22"/>
      <c r="E21" s="2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2:33" x14ac:dyDescent="0.35">
      <c r="B22" s="22" t="s">
        <v>58</v>
      </c>
      <c r="C22" s="16"/>
      <c r="D22" s="16"/>
      <c r="E22" s="2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2:33" x14ac:dyDescent="0.35">
      <c r="B23" s="22" t="s">
        <v>59</v>
      </c>
      <c r="C23" s="16"/>
      <c r="D23" s="16"/>
      <c r="E23" s="16"/>
      <c r="F23" s="16"/>
      <c r="G23" s="16"/>
      <c r="H23" s="16"/>
      <c r="I23" s="16"/>
      <c r="J23" s="16"/>
      <c r="K23" s="16"/>
      <c r="L23" s="22"/>
      <c r="M23" s="22"/>
      <c r="N23" s="22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2:33" x14ac:dyDescent="0.35">
      <c r="B24" s="22" t="s">
        <v>60</v>
      </c>
      <c r="C24" s="16"/>
      <c r="D24" s="16"/>
      <c r="E24" s="16"/>
      <c r="F24" s="16"/>
      <c r="G24" s="16"/>
      <c r="H24" s="16"/>
      <c r="I24" s="22"/>
      <c r="J24" s="22"/>
      <c r="K24" s="22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2:33" x14ac:dyDescent="0.3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2:33" x14ac:dyDescent="0.3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2:33" x14ac:dyDescent="0.3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2:33" x14ac:dyDescent="0.35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2:33" x14ac:dyDescent="0.35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2:33" x14ac:dyDescent="0.3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2:33" x14ac:dyDescent="0.35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2:33" x14ac:dyDescent="0.35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2:33" x14ac:dyDescent="0.35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2:33" x14ac:dyDescent="0.3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2:33" x14ac:dyDescent="0.3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2:33" x14ac:dyDescent="0.3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2:33" x14ac:dyDescent="0.3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spans="2:33" x14ac:dyDescent="0.35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2:33" x14ac:dyDescent="0.3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spans="2:33" x14ac:dyDescent="0.3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2:33" x14ac:dyDescent="0.3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2:33" x14ac:dyDescent="0.3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2:33" x14ac:dyDescent="0.3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spans="2:33" x14ac:dyDescent="0.3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spans="2:33" x14ac:dyDescent="0.3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spans="2:33" x14ac:dyDescent="0.3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spans="2:33" x14ac:dyDescent="0.3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spans="2:33" x14ac:dyDescent="0.3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spans="2:33" x14ac:dyDescent="0.3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spans="2:33" x14ac:dyDescent="0.3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spans="2:33" x14ac:dyDescent="0.3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spans="2:33" x14ac:dyDescent="0.3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spans="2:33" x14ac:dyDescent="0.3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spans="2:33" x14ac:dyDescent="0.3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spans="2:33" x14ac:dyDescent="0.3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spans="2:33" x14ac:dyDescent="0.35">
      <c r="B56" s="16"/>
    </row>
    <row r="57" spans="2:33" x14ac:dyDescent="0.35">
      <c r="B57" s="16"/>
    </row>
    <row r="58" spans="2:33" x14ac:dyDescent="0.35">
      <c r="B58" s="16"/>
    </row>
    <row r="59" spans="2:33" x14ac:dyDescent="0.35">
      <c r="B59" s="16"/>
    </row>
  </sheetData>
  <mergeCells count="12">
    <mergeCell ref="B1:B3"/>
    <mergeCell ref="P2:S2"/>
    <mergeCell ref="T2:W2"/>
    <mergeCell ref="X2:AA2"/>
    <mergeCell ref="AB2:AE2"/>
    <mergeCell ref="AF2:AG2"/>
    <mergeCell ref="T1:AG1"/>
    <mergeCell ref="O1:S1"/>
    <mergeCell ref="C1:N1"/>
    <mergeCell ref="D2:G2"/>
    <mergeCell ref="H2:K2"/>
    <mergeCell ref="L2:O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Ward</dc:creator>
  <cp:lastModifiedBy>Tyler Ward</cp:lastModifiedBy>
  <dcterms:created xsi:type="dcterms:W3CDTF">2025-10-13T11:56:35Z</dcterms:created>
  <dcterms:modified xsi:type="dcterms:W3CDTF">2025-10-14T11:39:38Z</dcterms:modified>
</cp:coreProperties>
</file>